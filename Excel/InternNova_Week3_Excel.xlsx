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7c0901a68946a4/Desktop/InternNova_Week3_SQL_Excel/Excel/"/>
    </mc:Choice>
  </mc:AlternateContent>
  <xr:revisionPtr revIDLastSave="118" documentId="8_{523B5A07-391E-4D6F-8928-A84101D5D25F}" xr6:coauthVersionLast="47" xr6:coauthVersionMax="47" xr10:uidLastSave="{3C244216-8BC8-4A24-BAFF-CA52C0C760AF}"/>
  <bookViews>
    <workbookView xWindow="-108" yWindow="-108" windowWidth="23256" windowHeight="12456" xr2:uid="{8AE0BA03-E2F3-4506-BD50-5793803EA5E9}"/>
  </bookViews>
  <sheets>
    <sheet name="Pivot_Analysis" sheetId="3" r:id="rId1"/>
    <sheet name="Sales_Data" sheetId="1" r:id="rId2"/>
    <sheet name="Lookup_Data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G2" i="2"/>
  <c r="F2" i="2"/>
  <c r="J4" i="1"/>
  <c r="J3" i="1"/>
  <c r="J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</calcChain>
</file>

<file path=xl/sharedStrings.xml><?xml version="1.0" encoding="utf-8"?>
<sst xmlns="http://schemas.openxmlformats.org/spreadsheetml/2006/main" count="122" uniqueCount="45">
  <si>
    <t>OrderID</t>
  </si>
  <si>
    <t>Product</t>
  </si>
  <si>
    <t>Category</t>
  </si>
  <si>
    <t>Region</t>
  </si>
  <si>
    <t>Sales</t>
  </si>
  <si>
    <t>Quantity</t>
  </si>
  <si>
    <t>Profit</t>
  </si>
  <si>
    <t>Laptop</t>
  </si>
  <si>
    <t>Technology</t>
  </si>
  <si>
    <t>North</t>
  </si>
  <si>
    <t>Mouse</t>
  </si>
  <si>
    <t>Accessories</t>
  </si>
  <si>
    <t>South</t>
  </si>
  <si>
    <t>Keyboard</t>
  </si>
  <si>
    <t>East</t>
  </si>
  <si>
    <t>Monitor</t>
  </si>
  <si>
    <t>West</t>
  </si>
  <si>
    <t>Printer</t>
  </si>
  <si>
    <t>Office Chair</t>
  </si>
  <si>
    <t>Furniture</t>
  </si>
  <si>
    <t>Desk</t>
  </si>
  <si>
    <t>Headphones</t>
  </si>
  <si>
    <t>Tablet</t>
  </si>
  <si>
    <t>Webcam</t>
  </si>
  <si>
    <t>Smartphone</t>
  </si>
  <si>
    <t>Bookshelf</t>
  </si>
  <si>
    <t>Mouse Pad</t>
  </si>
  <si>
    <t>Laptop Stand</t>
  </si>
  <si>
    <t>Filing Cabinet</t>
  </si>
  <si>
    <t>Profit_Status</t>
  </si>
  <si>
    <t>Column1</t>
  </si>
  <si>
    <t>Metric</t>
  </si>
  <si>
    <t>Technology Products</t>
  </si>
  <si>
    <t>Value</t>
  </si>
  <si>
    <t>Furniture Sales</t>
  </si>
  <si>
    <t>High Profit Products</t>
  </si>
  <si>
    <t>Search Product</t>
  </si>
  <si>
    <t>VLOOKUP Category</t>
  </si>
  <si>
    <t>VLOOKUP Region</t>
  </si>
  <si>
    <t>XLOOKUP Category</t>
  </si>
  <si>
    <t>XLOOKUP Region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</si>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</sst>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168" fontId="0" fillId="0" borderId="0" xfId="0" applyNumberFormat="1" applyAlignment="1">
      <alignment horizontal="right" vertical="center" wrapText="1"/>
    </xf>
    <xf numFmtId="168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2" borderId="3" xfId="0" applyFill="1" applyBorder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168" formatCode="&quot;₹&quot;\ #,##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68" formatCode="&quot;₹&quot;\ 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[InternNova_Week3_Excel.xlsx]Pivot_Analysis!PivotTable1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Category-wise Sales Analysis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Accessories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Pivot_Analysis!$B$4:$B$7</c:f>
              <c:numCache>
                <c:formatCode>"₹"\ #,##0.00</c:formatCode>
                <c:ptCount val="3"/>
                <c:pt idx="0">
                  <c:v>15500</c:v>
                </c:pt>
                <c:pt idx="1">
                  <c:v>34000</c:v>
                </c:pt>
                <c:pt idx="2">
                  <c:v>148000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6-47DC-A243-9EF7B11C5C90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Accessories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Pivot_Analysis!$C$4:$C$7</c:f>
              <c:numCache>
                <c:formatCode>"₹"\ #,##0.00</c:formatCode>
                <c:ptCount val="3"/>
                <c:pt idx="0">
                  <c:v>3150</c:v>
                </c:pt>
                <c:pt idx="1">
                  <c:v>4900</c:v>
                </c:pt>
                <c:pt idx="2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6-47DC-A243-9EF7B11C5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859999"/>
        <c:axId val="1038238607"/>
      </c:barChart>
      <c:catAx>
        <c:axId val="12688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38607"/>
        <c:crosses val="autoZero"/>
        <c:auto val="1"/>
        <c:lblAlgn val="ctr"/>
        <c:lblOffset val="100"/>
        <c:noMultiLvlLbl val="0"/>
      </c:catAx>
      <c:valAx>
        <c:axId val="103823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85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171450</xdr:rowOff>
    </xdr:from>
    <xdr:to>
      <xdr:col>7</xdr:col>
      <xdr:colOff>480060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EC19A-A261-A9D8-899F-797DE38BA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614509837964" createdVersion="8" refreshedVersion="8" minRefreshableVersion="3" recordCount="15" xr:uid="{BC4082F5-F6F8-46E6-9EC3-F855F53201BB}">
  <cacheSource type="worksheet">
    <worksheetSource name="Table1"/>
  </cacheSource>
  <cacheFields count="10">
    <cacheField name="OrderID" numFmtId="0">
      <sharedItems containsSemiMixedTypes="0" containsString="0" containsNumber="1" containsInteger="1" minValue="1001" maxValue="1015"/>
    </cacheField>
    <cacheField name="Product" numFmtId="0">
      <sharedItems/>
    </cacheField>
    <cacheField name="Category" numFmtId="0">
      <sharedItems count="3">
        <s v="Technology"/>
        <s v="Furniture"/>
        <s v="Accessories"/>
      </sharedItems>
    </cacheField>
    <cacheField name="Region" numFmtId="0">
      <sharedItems/>
    </cacheField>
    <cacheField name="Sales" numFmtId="168">
      <sharedItems containsSemiMixedTypes="0" containsString="0" containsNumber="1" containsInteger="1" minValue="800" maxValue="55000"/>
    </cacheField>
    <cacheField name="Quantity" numFmtId="0">
      <sharedItems containsSemiMixedTypes="0" containsString="0" containsNumber="1" containsInteger="1" minValue="1" maxValue="6"/>
    </cacheField>
    <cacheField name="Profit" numFmtId="168">
      <sharedItems containsSemiMixedTypes="0" containsString="0" containsNumber="1" containsInteger="1" minValue="150" maxValue="8000"/>
    </cacheField>
    <cacheField name="Column1" numFmtId="0">
      <sharedItems/>
    </cacheField>
    <cacheField name="Metric" numFmtId="0">
      <sharedItems containsBlank="1"/>
    </cacheField>
    <cacheField name="Value" numFmtId="0">
      <sharedItems containsString="0" containsBlank="1" containsNumber="1" containsInteger="1" minValue="5" maxValue="3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s v="Laptop"/>
    <x v="0"/>
    <s v="North"/>
    <n v="55000"/>
    <n v="2"/>
    <n v="8000"/>
    <s v="Profit_Status"/>
    <s v="Technology Products"/>
    <n v="5"/>
  </r>
  <r>
    <n v="1011"/>
    <s v="Smartphone"/>
    <x v="0"/>
    <s v="East"/>
    <n v="32000"/>
    <n v="2"/>
    <n v="5000"/>
    <s v="High Profit"/>
    <s v="Furniture Sales"/>
    <n v="34000"/>
  </r>
  <r>
    <n v="1009"/>
    <s v="Tablet"/>
    <x v="0"/>
    <s v="North"/>
    <n v="28000"/>
    <n v="2"/>
    <n v="4500"/>
    <s v="High Profit"/>
    <s v="High Profit Products"/>
    <n v="7"/>
  </r>
  <r>
    <n v="1004"/>
    <s v="Monitor"/>
    <x v="0"/>
    <s v="West"/>
    <n v="18000"/>
    <n v="2"/>
    <n v="2500"/>
    <s v="High Profit"/>
    <m/>
    <m/>
  </r>
  <r>
    <n v="1005"/>
    <s v="Printer"/>
    <x v="0"/>
    <s v="North"/>
    <n v="15000"/>
    <n v="1"/>
    <n v="2000"/>
    <s v="High Profit"/>
    <m/>
    <m/>
  </r>
  <r>
    <n v="1007"/>
    <s v="Desk"/>
    <x v="1"/>
    <s v="East"/>
    <n v="12000"/>
    <n v="2"/>
    <n v="1800"/>
    <s v="High Profit"/>
    <m/>
    <m/>
  </r>
  <r>
    <n v="1006"/>
    <s v="Office Chair"/>
    <x v="1"/>
    <s v="South"/>
    <n v="8500"/>
    <n v="3"/>
    <n v="1200"/>
    <s v="High Profit"/>
    <m/>
    <m/>
  </r>
  <r>
    <n v="1012"/>
    <s v="Bookshelf"/>
    <x v="1"/>
    <s v="West"/>
    <n v="7000"/>
    <n v="1"/>
    <n v="1000"/>
    <s v="High Profit"/>
    <m/>
    <m/>
  </r>
  <r>
    <n v="1015"/>
    <s v="Filing Cabinet"/>
    <x v="1"/>
    <s v="South"/>
    <n v="6500"/>
    <n v="2"/>
    <n v="900"/>
    <s v="Low Profit"/>
    <m/>
    <m/>
  </r>
  <r>
    <n v="1010"/>
    <s v="Webcam"/>
    <x v="2"/>
    <s v="South"/>
    <n v="4500"/>
    <n v="3"/>
    <n v="900"/>
    <s v="Low Profit"/>
    <m/>
    <m/>
  </r>
  <r>
    <n v="1008"/>
    <s v="Headphones"/>
    <x v="2"/>
    <s v="West"/>
    <n v="3500"/>
    <n v="5"/>
    <n v="700"/>
    <s v="Low Profit"/>
    <m/>
    <m/>
  </r>
  <r>
    <n v="1014"/>
    <s v="Laptop Stand"/>
    <x v="2"/>
    <s v="East"/>
    <n v="3000"/>
    <n v="3"/>
    <n v="600"/>
    <s v="Low Profit"/>
    <m/>
    <m/>
  </r>
  <r>
    <n v="1003"/>
    <s v="Keyboard"/>
    <x v="2"/>
    <s v="East"/>
    <n v="2500"/>
    <n v="4"/>
    <n v="500"/>
    <s v="Low Profit"/>
    <m/>
    <m/>
  </r>
  <r>
    <n v="1002"/>
    <s v="Mouse"/>
    <x v="2"/>
    <s v="South"/>
    <n v="1200"/>
    <n v="5"/>
    <n v="300"/>
    <s v="Low Profit"/>
    <m/>
    <m/>
  </r>
  <r>
    <n v="1013"/>
    <s v="Mouse Pad"/>
    <x v="2"/>
    <s v="North"/>
    <n v="800"/>
    <n v="6"/>
    <n v="150"/>
    <s v="Low Profit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4E1C-2B4F-481E-B1AC-80BA03BEEA8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7" firstHeaderRow="0" firstDataRow="1" firstDataCol="1"/>
  <pivotFields count="1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68" showAll="0"/>
    <pivotField showAll="0"/>
    <pivotField dataField="1" numFmtId="168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168"/>
    <dataField name="Sum of Profit" fld="6" baseField="0" baseItem="0" numFmtId="168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F1BD3-DA1D-4897-B7C2-D24B321DC243}" name="Table1" displayName="Table1" ref="A1:J16" totalsRowShown="0" headerRowBorderDxfId="8" tableBorderDxfId="9">
  <autoFilter ref="A1:J16" xr:uid="{4E0F1BD3-DA1D-4897-B7C2-D24B321DC243}"/>
  <tableColumns count="10">
    <tableColumn id="1" xr3:uid="{2221B2DA-7FA0-40E3-BE55-BE5EF08C9792}" name="OrderID" dataDxfId="7"/>
    <tableColumn id="2" xr3:uid="{58E2F4C5-119F-4670-A59C-4316E6304352}" name="Product" dataDxfId="6"/>
    <tableColumn id="3" xr3:uid="{281F3642-9282-4FBE-A416-F3F77E8353A3}" name="Category" dataDxfId="5"/>
    <tableColumn id="4" xr3:uid="{8C4B767D-A4EF-41F5-BA35-EE7BAE02E790}" name="Region" dataDxfId="4"/>
    <tableColumn id="5" xr3:uid="{F61AA1D9-9453-470C-A466-93CEF59E3F14}" name="Sales" dataDxfId="3"/>
    <tableColumn id="6" xr3:uid="{6926DE38-F24F-43E3-955B-FA76AC0135BC}" name="Quantity" dataDxfId="2"/>
    <tableColumn id="7" xr3:uid="{95068905-3A10-4C30-87DB-3F566557812E}" name="Profit" dataDxfId="1"/>
    <tableColumn id="8" xr3:uid="{2C8DE294-92E7-46F6-BC94-AE13AC94A710}" name="Column1"/>
    <tableColumn id="10" xr3:uid="{468105D2-7054-4387-9072-267AB6D05ABE}" name="Metric"/>
    <tableColumn id="11" xr3:uid="{6F5F5706-4ACC-4B24-A4F4-4E18F57CAB4E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DBBC-6BBB-4B07-A910-DF924839131C}">
  <dimension ref="A3:C7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3" width="12.109375" bestFit="1" customWidth="1"/>
  </cols>
  <sheetData>
    <row r="3" spans="1:3" x14ac:dyDescent="0.3">
      <c r="A3" s="12" t="s">
        <v>41</v>
      </c>
      <c r="B3" t="s">
        <v>43</v>
      </c>
      <c r="C3" t="s">
        <v>44</v>
      </c>
    </row>
    <row r="4" spans="1:3" x14ac:dyDescent="0.3">
      <c r="A4" s="13" t="s">
        <v>11</v>
      </c>
      <c r="B4" s="6">
        <v>15500</v>
      </c>
      <c r="C4" s="6">
        <v>3150</v>
      </c>
    </row>
    <row r="5" spans="1:3" x14ac:dyDescent="0.3">
      <c r="A5" s="13" t="s">
        <v>19</v>
      </c>
      <c r="B5" s="6">
        <v>34000</v>
      </c>
      <c r="C5" s="6">
        <v>4900</v>
      </c>
    </row>
    <row r="6" spans="1:3" x14ac:dyDescent="0.3">
      <c r="A6" s="13" t="s">
        <v>8</v>
      </c>
      <c r="B6" s="6">
        <v>148000</v>
      </c>
      <c r="C6" s="6">
        <v>22000</v>
      </c>
    </row>
    <row r="7" spans="1:3" x14ac:dyDescent="0.3">
      <c r="A7" s="13" t="s">
        <v>42</v>
      </c>
      <c r="B7" s="6">
        <v>197500</v>
      </c>
      <c r="C7" s="6">
        <v>30050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A581-B363-4FD9-A50E-CE5225E5806C}">
  <dimension ref="A1:J16"/>
  <sheetViews>
    <sheetView workbookViewId="0">
      <selection activeCell="H16" sqref="A1:H16"/>
    </sheetView>
  </sheetViews>
  <sheetFormatPr defaultRowHeight="14.4" x14ac:dyDescent="0.3"/>
  <cols>
    <col min="1" max="1" width="9.44140625" customWidth="1"/>
    <col min="2" max="2" width="9.5546875" customWidth="1"/>
    <col min="3" max="3" width="10.44140625" customWidth="1"/>
    <col min="5" max="5" width="10.44140625" style="6" bestFit="1" customWidth="1"/>
    <col min="6" max="6" width="10.21875" customWidth="1"/>
    <col min="7" max="7" width="9.44140625" style="6" bestFit="1" customWidth="1"/>
    <col min="8" max="8" width="16.88671875" customWidth="1"/>
    <col min="9" max="9" width="20.44140625" customWidth="1"/>
    <col min="10" max="10" width="24" customWidth="1"/>
  </cols>
  <sheetData>
    <row r="1" spans="1:10" s="4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30</v>
      </c>
      <c r="I1" s="10" t="s">
        <v>31</v>
      </c>
      <c r="J1" s="10" t="s">
        <v>33</v>
      </c>
    </row>
    <row r="2" spans="1:10" x14ac:dyDescent="0.3">
      <c r="A2" s="3">
        <v>1001</v>
      </c>
      <c r="B2" s="3" t="s">
        <v>7</v>
      </c>
      <c r="C2" s="3" t="s">
        <v>8</v>
      </c>
      <c r="D2" s="3" t="s">
        <v>9</v>
      </c>
      <c r="E2" s="5">
        <v>55000</v>
      </c>
      <c r="F2" s="2">
        <v>2</v>
      </c>
      <c r="G2" s="5">
        <v>8000</v>
      </c>
      <c r="H2" t="s">
        <v>29</v>
      </c>
      <c r="I2" t="s">
        <v>32</v>
      </c>
      <c r="J2">
        <f>COUNTIF(C2:C16,"Technology")</f>
        <v>5</v>
      </c>
    </row>
    <row r="3" spans="1:10" ht="28.8" x14ac:dyDescent="0.3">
      <c r="A3" s="3">
        <v>1011</v>
      </c>
      <c r="B3" s="3" t="s">
        <v>24</v>
      </c>
      <c r="C3" s="3" t="s">
        <v>8</v>
      </c>
      <c r="D3" s="3" t="s">
        <v>14</v>
      </c>
      <c r="E3" s="5">
        <v>32000</v>
      </c>
      <c r="F3" s="2">
        <v>2</v>
      </c>
      <c r="G3" s="5">
        <v>5000</v>
      </c>
      <c r="H3" t="str">
        <f>IF(G2&gt;1000,"High Profit","Low Profit")</f>
        <v>High Profit</v>
      </c>
      <c r="I3" t="s">
        <v>34</v>
      </c>
      <c r="J3">
        <f>SUMIF(C2:C16,"Furniture",E2:E16)</f>
        <v>34000</v>
      </c>
    </row>
    <row r="4" spans="1:10" x14ac:dyDescent="0.3">
      <c r="A4" s="3">
        <v>1009</v>
      </c>
      <c r="B4" s="3" t="s">
        <v>22</v>
      </c>
      <c r="C4" s="3" t="s">
        <v>8</v>
      </c>
      <c r="D4" s="3" t="s">
        <v>9</v>
      </c>
      <c r="E4" s="5">
        <v>28000</v>
      </c>
      <c r="F4" s="2">
        <v>2</v>
      </c>
      <c r="G4" s="5">
        <v>4500</v>
      </c>
      <c r="H4" t="str">
        <f t="shared" ref="H4:H16" si="0">IF(G3&gt;1000,"High Profit","Low Profit")</f>
        <v>High Profit</v>
      </c>
      <c r="I4" t="s">
        <v>35</v>
      </c>
      <c r="J4">
        <f>COUNTIF(H2:H16,"High Profit")</f>
        <v>7</v>
      </c>
    </row>
    <row r="5" spans="1:10" x14ac:dyDescent="0.3">
      <c r="A5" s="3">
        <v>1004</v>
      </c>
      <c r="B5" s="3" t="s">
        <v>15</v>
      </c>
      <c r="C5" s="3" t="s">
        <v>8</v>
      </c>
      <c r="D5" s="3" t="s">
        <v>16</v>
      </c>
      <c r="E5" s="5">
        <v>18000</v>
      </c>
      <c r="F5" s="2">
        <v>2</v>
      </c>
      <c r="G5" s="5">
        <v>2500</v>
      </c>
      <c r="H5" t="str">
        <f t="shared" si="0"/>
        <v>High Profit</v>
      </c>
    </row>
    <row r="6" spans="1:10" x14ac:dyDescent="0.3">
      <c r="A6" s="3">
        <v>1005</v>
      </c>
      <c r="B6" s="3" t="s">
        <v>17</v>
      </c>
      <c r="C6" s="3" t="s">
        <v>8</v>
      </c>
      <c r="D6" s="3" t="s">
        <v>9</v>
      </c>
      <c r="E6" s="5">
        <v>15000</v>
      </c>
      <c r="F6" s="2">
        <v>1</v>
      </c>
      <c r="G6" s="5">
        <v>2000</v>
      </c>
      <c r="H6" t="str">
        <f t="shared" si="0"/>
        <v>High Profit</v>
      </c>
    </row>
    <row r="7" spans="1:10" x14ac:dyDescent="0.3">
      <c r="A7" s="3">
        <v>1007</v>
      </c>
      <c r="B7" s="3" t="s">
        <v>20</v>
      </c>
      <c r="C7" s="3" t="s">
        <v>19</v>
      </c>
      <c r="D7" s="3" t="s">
        <v>14</v>
      </c>
      <c r="E7" s="5">
        <v>12000</v>
      </c>
      <c r="F7" s="2">
        <v>2</v>
      </c>
      <c r="G7" s="5">
        <v>1800</v>
      </c>
      <c r="H7" t="str">
        <f t="shared" si="0"/>
        <v>High Profit</v>
      </c>
    </row>
    <row r="8" spans="1:10" ht="28.8" x14ac:dyDescent="0.3">
      <c r="A8" s="3">
        <v>1006</v>
      </c>
      <c r="B8" s="3" t="s">
        <v>18</v>
      </c>
      <c r="C8" s="3" t="s">
        <v>19</v>
      </c>
      <c r="D8" s="3" t="s">
        <v>12</v>
      </c>
      <c r="E8" s="5">
        <v>8500</v>
      </c>
      <c r="F8" s="2">
        <v>3</v>
      </c>
      <c r="G8" s="5">
        <v>1200</v>
      </c>
      <c r="H8" t="str">
        <f t="shared" si="0"/>
        <v>High Profit</v>
      </c>
    </row>
    <row r="9" spans="1:10" x14ac:dyDescent="0.3">
      <c r="A9" s="3">
        <v>1012</v>
      </c>
      <c r="B9" s="3" t="s">
        <v>25</v>
      </c>
      <c r="C9" s="3" t="s">
        <v>19</v>
      </c>
      <c r="D9" s="3" t="s">
        <v>16</v>
      </c>
      <c r="E9" s="5">
        <v>7000</v>
      </c>
      <c r="F9" s="2">
        <v>1</v>
      </c>
      <c r="G9" s="5">
        <v>1000</v>
      </c>
      <c r="H9" t="str">
        <f t="shared" si="0"/>
        <v>High Profit</v>
      </c>
    </row>
    <row r="10" spans="1:10" ht="28.8" x14ac:dyDescent="0.3">
      <c r="A10" s="3">
        <v>1015</v>
      </c>
      <c r="B10" s="3" t="s">
        <v>28</v>
      </c>
      <c r="C10" s="3" t="s">
        <v>19</v>
      </c>
      <c r="D10" s="3" t="s">
        <v>12</v>
      </c>
      <c r="E10" s="5">
        <v>6500</v>
      </c>
      <c r="F10" s="2">
        <v>2</v>
      </c>
      <c r="G10" s="5">
        <v>900</v>
      </c>
      <c r="H10" t="str">
        <f t="shared" si="0"/>
        <v>Low Profit</v>
      </c>
    </row>
    <row r="11" spans="1:10" x14ac:dyDescent="0.3">
      <c r="A11" s="3">
        <v>1010</v>
      </c>
      <c r="B11" s="3" t="s">
        <v>23</v>
      </c>
      <c r="C11" s="3" t="s">
        <v>11</v>
      </c>
      <c r="D11" s="3" t="s">
        <v>12</v>
      </c>
      <c r="E11" s="5">
        <v>4500</v>
      </c>
      <c r="F11" s="2">
        <v>3</v>
      </c>
      <c r="G11" s="5">
        <v>900</v>
      </c>
      <c r="H11" t="str">
        <f t="shared" si="0"/>
        <v>Low Profit</v>
      </c>
    </row>
    <row r="12" spans="1:10" ht="28.8" x14ac:dyDescent="0.3">
      <c r="A12" s="3">
        <v>1008</v>
      </c>
      <c r="B12" s="3" t="s">
        <v>21</v>
      </c>
      <c r="C12" s="3" t="s">
        <v>11</v>
      </c>
      <c r="D12" s="3" t="s">
        <v>16</v>
      </c>
      <c r="E12" s="5">
        <v>3500</v>
      </c>
      <c r="F12" s="2">
        <v>5</v>
      </c>
      <c r="G12" s="5">
        <v>700</v>
      </c>
      <c r="H12" t="str">
        <f t="shared" si="0"/>
        <v>Low Profit</v>
      </c>
    </row>
    <row r="13" spans="1:10" ht="28.8" x14ac:dyDescent="0.3">
      <c r="A13" s="3">
        <v>1014</v>
      </c>
      <c r="B13" s="3" t="s">
        <v>27</v>
      </c>
      <c r="C13" s="3" t="s">
        <v>11</v>
      </c>
      <c r="D13" s="3" t="s">
        <v>14</v>
      </c>
      <c r="E13" s="5">
        <v>3000</v>
      </c>
      <c r="F13" s="2">
        <v>3</v>
      </c>
      <c r="G13" s="5">
        <v>600</v>
      </c>
      <c r="H13" t="str">
        <f t="shared" si="0"/>
        <v>Low Profit</v>
      </c>
    </row>
    <row r="14" spans="1:10" x14ac:dyDescent="0.3">
      <c r="A14" s="3">
        <v>1003</v>
      </c>
      <c r="B14" s="3" t="s">
        <v>13</v>
      </c>
      <c r="C14" s="3" t="s">
        <v>11</v>
      </c>
      <c r="D14" s="3" t="s">
        <v>14</v>
      </c>
      <c r="E14" s="5">
        <v>2500</v>
      </c>
      <c r="F14" s="2">
        <v>4</v>
      </c>
      <c r="G14" s="5">
        <v>500</v>
      </c>
      <c r="H14" t="str">
        <f t="shared" si="0"/>
        <v>Low Profit</v>
      </c>
    </row>
    <row r="15" spans="1:10" x14ac:dyDescent="0.3">
      <c r="A15" s="3">
        <v>1002</v>
      </c>
      <c r="B15" s="3" t="s">
        <v>10</v>
      </c>
      <c r="C15" s="3" t="s">
        <v>11</v>
      </c>
      <c r="D15" s="3" t="s">
        <v>12</v>
      </c>
      <c r="E15" s="5">
        <v>1200</v>
      </c>
      <c r="F15" s="2">
        <v>5</v>
      </c>
      <c r="G15" s="5">
        <v>300</v>
      </c>
      <c r="H15" t="str">
        <f t="shared" si="0"/>
        <v>Low Profit</v>
      </c>
    </row>
    <row r="16" spans="1:10" ht="28.8" x14ac:dyDescent="0.3">
      <c r="A16" s="3">
        <v>1013</v>
      </c>
      <c r="B16" s="3" t="s">
        <v>26</v>
      </c>
      <c r="C16" s="3" t="s">
        <v>11</v>
      </c>
      <c r="D16" s="3" t="s">
        <v>9</v>
      </c>
      <c r="E16" s="5">
        <v>800</v>
      </c>
      <c r="F16" s="2">
        <v>6</v>
      </c>
      <c r="G16" s="5">
        <v>150</v>
      </c>
      <c r="H16" t="str">
        <f t="shared" si="0"/>
        <v>Low Profit</v>
      </c>
    </row>
  </sheetData>
  <phoneticPr fontId="2" type="noConversion"/>
  <conditionalFormatting sqref="G1:G1048576">
    <cfRule type="cellIs" dxfId="0" priority="1" operator="greaterThan">
      <formula>1000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0219-E46F-440E-AD24-935C4223CB80}">
  <dimension ref="A1:K16"/>
  <sheetViews>
    <sheetView workbookViewId="0">
      <selection activeCell="K2" sqref="K2"/>
    </sheetView>
  </sheetViews>
  <sheetFormatPr defaultRowHeight="14.4" x14ac:dyDescent="0.3"/>
  <cols>
    <col min="1" max="3" width="8.88671875" customWidth="1"/>
    <col min="5" max="5" width="20.21875" customWidth="1"/>
    <col min="6" max="6" width="17.6640625" customWidth="1"/>
    <col min="7" max="7" width="17.88671875" customWidth="1"/>
    <col min="9" max="9" width="14" customWidth="1"/>
    <col min="10" max="10" width="17.77734375" customWidth="1"/>
    <col min="11" max="11" width="17.6640625" customWidth="1"/>
  </cols>
  <sheetData>
    <row r="1" spans="1:11" x14ac:dyDescent="0.3">
      <c r="A1" s="1" t="s">
        <v>1</v>
      </c>
      <c r="B1" s="1" t="s">
        <v>2</v>
      </c>
      <c r="C1" s="1" t="s">
        <v>3</v>
      </c>
      <c r="E1" t="s">
        <v>36</v>
      </c>
      <c r="F1" t="s">
        <v>37</v>
      </c>
      <c r="G1" t="s">
        <v>38</v>
      </c>
      <c r="I1" t="s">
        <v>36</v>
      </c>
      <c r="J1" t="s">
        <v>39</v>
      </c>
      <c r="K1" t="s">
        <v>40</v>
      </c>
    </row>
    <row r="2" spans="1:11" ht="28.8" x14ac:dyDescent="0.3">
      <c r="A2" s="3" t="s">
        <v>7</v>
      </c>
      <c r="B2" s="3" t="s">
        <v>8</v>
      </c>
      <c r="C2" s="3" t="s">
        <v>9</v>
      </c>
      <c r="E2" t="s">
        <v>7</v>
      </c>
      <c r="F2" t="str">
        <f>VLOOKUP(E2,A2:C16,2,FALSE)</f>
        <v>Technology</v>
      </c>
      <c r="G2" t="str">
        <f>VLOOKUP(E2,A2:C16,3,FALSE)</f>
        <v>North</v>
      </c>
      <c r="I2" s="3" t="s">
        <v>24</v>
      </c>
      <c r="J2" s="3" t="str">
        <f>_xlfn.XLOOKUP(I2,A2:A16,B2:B16,"Not Found")</f>
        <v>Technology</v>
      </c>
      <c r="K2" s="11" t="str">
        <f>_xlfn.XLOOKUP(I2,A2:A16,C2:C16,"Not Found")</f>
        <v>East</v>
      </c>
    </row>
    <row r="3" spans="1:11" ht="28.8" x14ac:dyDescent="0.3">
      <c r="A3" s="3" t="s">
        <v>10</v>
      </c>
      <c r="B3" s="3" t="s">
        <v>11</v>
      </c>
      <c r="C3" s="3" t="s">
        <v>12</v>
      </c>
    </row>
    <row r="4" spans="1:11" x14ac:dyDescent="0.3">
      <c r="A4" s="3" t="s">
        <v>13</v>
      </c>
      <c r="B4" s="3" t="s">
        <v>11</v>
      </c>
      <c r="C4" s="3" t="s">
        <v>14</v>
      </c>
    </row>
    <row r="5" spans="1:11" x14ac:dyDescent="0.3">
      <c r="A5" s="3" t="s">
        <v>15</v>
      </c>
      <c r="B5" s="3" t="s">
        <v>8</v>
      </c>
      <c r="C5" s="3" t="s">
        <v>16</v>
      </c>
    </row>
    <row r="6" spans="1:11" x14ac:dyDescent="0.3">
      <c r="A6" s="3" t="s">
        <v>17</v>
      </c>
      <c r="B6" s="3" t="s">
        <v>8</v>
      </c>
      <c r="C6" s="3" t="s">
        <v>9</v>
      </c>
    </row>
    <row r="7" spans="1:11" x14ac:dyDescent="0.3">
      <c r="A7" s="3" t="s">
        <v>18</v>
      </c>
      <c r="B7" s="3" t="s">
        <v>19</v>
      </c>
      <c r="C7" s="3" t="s">
        <v>12</v>
      </c>
    </row>
    <row r="8" spans="1:11" x14ac:dyDescent="0.3">
      <c r="A8" s="3" t="s">
        <v>20</v>
      </c>
      <c r="B8" s="3" t="s">
        <v>19</v>
      </c>
      <c r="C8" s="3" t="s">
        <v>14</v>
      </c>
    </row>
    <row r="9" spans="1:11" x14ac:dyDescent="0.3">
      <c r="A9" s="3" t="s">
        <v>21</v>
      </c>
      <c r="B9" s="3" t="s">
        <v>11</v>
      </c>
      <c r="C9" s="3" t="s">
        <v>16</v>
      </c>
    </row>
    <row r="10" spans="1:11" x14ac:dyDescent="0.3">
      <c r="A10" s="3" t="s">
        <v>22</v>
      </c>
      <c r="B10" s="3" t="s">
        <v>8</v>
      </c>
      <c r="C10" s="3" t="s">
        <v>9</v>
      </c>
    </row>
    <row r="11" spans="1:11" x14ac:dyDescent="0.3">
      <c r="A11" s="3" t="s">
        <v>23</v>
      </c>
      <c r="B11" s="3" t="s">
        <v>11</v>
      </c>
      <c r="C11" s="3" t="s">
        <v>12</v>
      </c>
    </row>
    <row r="12" spans="1:11" x14ac:dyDescent="0.3">
      <c r="A12" s="3" t="s">
        <v>24</v>
      </c>
      <c r="B12" s="3" t="s">
        <v>8</v>
      </c>
      <c r="C12" s="3" t="s">
        <v>14</v>
      </c>
    </row>
    <row r="13" spans="1:11" x14ac:dyDescent="0.3">
      <c r="A13" s="3" t="s">
        <v>25</v>
      </c>
      <c r="B13" s="3" t="s">
        <v>19</v>
      </c>
      <c r="C13" s="3" t="s">
        <v>16</v>
      </c>
    </row>
    <row r="14" spans="1:11" x14ac:dyDescent="0.3">
      <c r="A14" s="3" t="s">
        <v>26</v>
      </c>
      <c r="B14" s="3" t="s">
        <v>11</v>
      </c>
      <c r="C14" s="3" t="s">
        <v>9</v>
      </c>
    </row>
    <row r="15" spans="1:11" x14ac:dyDescent="0.3">
      <c r="A15" s="3" t="s">
        <v>27</v>
      </c>
      <c r="B15" s="3" t="s">
        <v>11</v>
      </c>
      <c r="C15" s="3" t="s">
        <v>14</v>
      </c>
    </row>
    <row r="16" spans="1:11" x14ac:dyDescent="0.3">
      <c r="A16" s="3" t="s">
        <v>28</v>
      </c>
      <c r="B16" s="3" t="s">
        <v>19</v>
      </c>
      <c r="C1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Sales_Data</vt:lpstr>
      <vt:lpstr>Lookup_Data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saxenaayush361@hotmail.com</dc:creator>
  <cp:lastModifiedBy>saxenaayush361@hotmail.com</cp:lastModifiedBy>
  <dcterms:created xsi:type="dcterms:W3CDTF">2026-10-02T08:16:17Z</dcterms:created>
  <dcterms:modified xsi:type="dcterms:W3CDTF">2026-10-02T09:19:24Z</dcterms:modified>
</cp:coreProperties>
</file>